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Medida (mm)</t>
        </is>
      </c>
      <c r="B1" s="1" t="inlineStr">
        <is>
          <t>Em polegadas</t>
        </is>
      </c>
      <c r="D1" s="1" t="inlineStr">
        <is>
          <t>% reprovado</t>
        </is>
      </c>
      <c r="E1" s="2">
        <f>(COUNTIF(A2:A16,"&gt;50.2")+COUNTIF(A2:A16,"&lt;49.8"))/COUNT(A2:A16)</f>
        <v/>
      </c>
    </row>
    <row r="2">
      <c r="A2" t="n">
        <v>50.1</v>
      </c>
      <c r="B2">
        <f>ROUND(A2/25.4,3)</f>
        <v/>
      </c>
    </row>
    <row r="3">
      <c r="A3" t="n">
        <v>49.7</v>
      </c>
      <c r="B3">
        <f>ROUND(A3/25.4,3)</f>
        <v/>
      </c>
    </row>
    <row r="4">
      <c r="A4" t="n">
        <v>50.3</v>
      </c>
      <c r="B4">
        <f>ROUND(A4/25.4,3)</f>
        <v/>
      </c>
    </row>
    <row r="5">
      <c r="A5" t="n">
        <v>49.9</v>
      </c>
      <c r="B5">
        <f>ROUND(A5/25.4,3)</f>
        <v/>
      </c>
    </row>
    <row r="6">
      <c r="A6" t="n">
        <v>50</v>
      </c>
      <c r="B6">
        <f>ROUND(A6/25.4,3)</f>
        <v/>
      </c>
    </row>
    <row r="7">
      <c r="A7" t="n">
        <v>50.25</v>
      </c>
      <c r="B7">
        <f>ROUND(A7/25.4,3)</f>
        <v/>
      </c>
    </row>
    <row r="8">
      <c r="A8" t="n">
        <v>49.85</v>
      </c>
      <c r="B8">
        <f>ROUND(A8/25.4,3)</f>
        <v/>
      </c>
    </row>
    <row r="9">
      <c r="A9" t="n">
        <v>50.15</v>
      </c>
      <c r="B9">
        <f>ROUND(A9/25.4,3)</f>
        <v/>
      </c>
    </row>
    <row r="10">
      <c r="A10" t="n">
        <v>49.75</v>
      </c>
      <c r="B10">
        <f>ROUND(A10/25.4,3)</f>
        <v/>
      </c>
    </row>
    <row r="11">
      <c r="A11" t="n">
        <v>50.05</v>
      </c>
      <c r="B11">
        <f>ROUND(A11/25.4,3)</f>
        <v/>
      </c>
    </row>
    <row r="12">
      <c r="A12" t="n">
        <v>50.4</v>
      </c>
      <c r="B12">
        <f>ROUND(A12/25.4,3)</f>
        <v/>
      </c>
    </row>
    <row r="13">
      <c r="A13" t="n">
        <v>49.95</v>
      </c>
      <c r="B13">
        <f>ROUND(A13/25.4,3)</f>
        <v/>
      </c>
    </row>
    <row r="14">
      <c r="A14" t="n">
        <v>50.2</v>
      </c>
      <c r="B14">
        <f>ROUND(A14/25.4,3)</f>
        <v/>
      </c>
    </row>
    <row r="15">
      <c r="A15" t="n">
        <v>49.6</v>
      </c>
      <c r="B15">
        <f>ROUND(A15/25.4,3)</f>
        <v/>
      </c>
    </row>
    <row r="16">
      <c r="A16" t="n">
        <v>50.1</v>
      </c>
      <c r="B16">
        <f>ROUND(A16/25.4,3)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29 – Filtrando e transformando listas</t>
        </is>
      </c>
    </row>
    <row r="2">
      <c r="A2" s="1" t="inlineStr">
        <is>
          <t>Nível 3 (Avançado)</t>
        </is>
      </c>
    </row>
    <row r="4">
      <c r="A4" t="inlineStr">
        <is>
          <t>=ARRED(A2/25,4; 3) arrastada converte as medidas para polegadas e =(CONT.SE(A2:A16; "&gt;50,2")+CONT.SE(A2:A16; "&lt;49,8"))/CONT(A2:A16) dá o percentual reprovado.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